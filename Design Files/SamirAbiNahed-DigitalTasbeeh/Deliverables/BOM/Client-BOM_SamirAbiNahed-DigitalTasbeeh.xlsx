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embedded Designers\LocAl\SamirAbiNahed-DigitalTasbeeh\PCB\SamirAbiNahed-DigitalTasbeeh\Deliverables\BOM\"/>
    </mc:Choice>
  </mc:AlternateContent>
  <xr:revisionPtr revIDLastSave="0" documentId="13_ncr:1_{AE5AE32D-7086-4B67-890C-22D1638E2DD5}" xr6:coauthVersionLast="36" xr6:coauthVersionMax="3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21" i="1" l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<sst xmlns="http://schemas.openxmlformats.org/spreadsheetml/2006/main" count="134" uniqueCount="104">
  <si>
    <t>#</t>
  </si>
  <si>
    <t>Item Type</t>
  </si>
  <si>
    <t>Capacitor</t>
  </si>
  <si>
    <t>Inductors</t>
  </si>
  <si>
    <t>Resistor</t>
  </si>
  <si>
    <t>IC</t>
  </si>
  <si>
    <t>Designator</t>
  </si>
  <si>
    <t>BT1</t>
  </si>
  <si>
    <t>C1, C3</t>
  </si>
  <si>
    <t>C2, C4</t>
  </si>
  <si>
    <t>C8</t>
  </si>
  <si>
    <t>D1</t>
  </si>
  <si>
    <t>D2, D3, D4, D5</t>
  </si>
  <si>
    <t>L1</t>
  </si>
  <si>
    <t>Q1, Q2</t>
  </si>
  <si>
    <t>R1, R2, R13</t>
  </si>
  <si>
    <t>R3, R5, R7, R9, R10, R11</t>
  </si>
  <si>
    <t>R4, R8</t>
  </si>
  <si>
    <t>R6, R17, R18, R19</t>
  </si>
  <si>
    <t>R12</t>
  </si>
  <si>
    <t>R14</t>
  </si>
  <si>
    <t>R15</t>
  </si>
  <si>
    <t>R16</t>
  </si>
  <si>
    <t>SW1</t>
  </si>
  <si>
    <t>U1</t>
  </si>
  <si>
    <t>U3</t>
  </si>
  <si>
    <t>Description</t>
  </si>
  <si>
    <t>CAP CER 10UF 10V X5R 0402</t>
  </si>
  <si>
    <t>CAP CER 0.1UF 6.3V X5R 0201</t>
  </si>
  <si>
    <t>CAP CER 22UF 10V X5R 0402</t>
  </si>
  <si>
    <t>40V 500mV@2A 2A SMA(DO-214AC) Schottky Barrier Diodes (SBD) ROHS</t>
  </si>
  <si>
    <t>Orange, White 607nm LED Indication - Discrete 1.6V~2.3V 2.4V~3V SMD-4P,1.6x1.5mm</t>
  </si>
  <si>
    <t>FIXED IND 2.2UH 1.8A 116MOHM SMD</t>
  </si>
  <si>
    <t>SI2302 Series 20 3 A N-Ch Enhancement Mode Field Effect Transistor - SOT-23-3</t>
  </si>
  <si>
    <t>RES 1M OHM 1% 1/20W 0201, -55℃~+155℃ 1MΩ 25V 50mW Thick Film Resistor ±200ppm/℃ ±5% 0201 Chip Resistor - Surface Mount ROHS</t>
  </si>
  <si>
    <t>RES 100 OHM Thick Film 0201 1% 1/20W ±200ppm/°C Molded SMD SMD Paper T/R</t>
  </si>
  <si>
    <t>RES 100K OHM 1% 1/20W 0201</t>
  </si>
  <si>
    <t>RES 200 OHM 1% 1/20W 0201</t>
  </si>
  <si>
    <t>RES SMD 10K OHM 1% 1/20W 0201</t>
  </si>
  <si>
    <t>-55℃~+125℃ 0Ω 25V 50mW Thick Film Resistor ±1% 0201 Chip Resistor - Surface Mount ROHS</t>
  </si>
  <si>
    <t>-55℃~+155℃ 13.3kΩ 25V 50mW Thick Film Resistor ±1% ±200ppm/℃ 0201 Chip Resistor - Surface Mount ROHS</t>
  </si>
  <si>
    <t>IC MCU 8BIT 16KB FLASH 20VQFN</t>
  </si>
  <si>
    <t>1.8-V to 5.5-V, 75-nA IQ buck-boost converter with input current limit and Dynamic Voltage Scaling</t>
  </si>
  <si>
    <t>Footprint</t>
  </si>
  <si>
    <t>BAT_120TR</t>
  </si>
  <si>
    <t>Cap-0402</t>
  </si>
  <si>
    <t>Cap-0201</t>
  </si>
  <si>
    <t>SMA</t>
  </si>
  <si>
    <t>A-SP1942S1W1D-C01-2T</t>
  </si>
  <si>
    <t>IND-0806</t>
  </si>
  <si>
    <t>SOT-23</t>
  </si>
  <si>
    <t>Res-0201</t>
  </si>
  <si>
    <t>EVQPLH_PAN</t>
  </si>
  <si>
    <t>VQFN-20-EP(3x3)</t>
  </si>
  <si>
    <t>IC_TPS63900DSKR</t>
  </si>
  <si>
    <t>Manufacturer Part Number</t>
  </si>
  <si>
    <t>120TR</t>
  </si>
  <si>
    <t>CL05A106MP5NUNC</t>
  </si>
  <si>
    <t>CC0201KRX5R5BB104</t>
  </si>
  <si>
    <t>GRM158R61A226ME15D</t>
  </si>
  <si>
    <t>SS24A</t>
  </si>
  <si>
    <t>DFE201612E-2R2M=P2</t>
  </si>
  <si>
    <t>SI2302-TP</t>
  </si>
  <si>
    <t>RC0201FR-071ML, AF0201JR-071ML</t>
  </si>
  <si>
    <t>RC0201FR-07100RL</t>
  </si>
  <si>
    <t>RC0201FR-07100KL</t>
  </si>
  <si>
    <t>RC0201FR-07200RL</t>
  </si>
  <si>
    <t>RC0201FR-0710KL</t>
  </si>
  <si>
    <t>RC0201FR-070RL</t>
  </si>
  <si>
    <t>0201WMF1332TEE</t>
  </si>
  <si>
    <t>ATTINY1616-MNR</t>
  </si>
  <si>
    <t>TPS63900DSKR</t>
  </si>
  <si>
    <t>Manufacturer</t>
  </si>
  <si>
    <t>Keystone</t>
  </si>
  <si>
    <t>Samsung</t>
  </si>
  <si>
    <t>Yageo</t>
  </si>
  <si>
    <t>Murata</t>
  </si>
  <si>
    <t>Guangdong Hottech</t>
  </si>
  <si>
    <t>Amicc</t>
  </si>
  <si>
    <t>MCC</t>
  </si>
  <si>
    <t>YAGEO</t>
  </si>
  <si>
    <t>UNI-ROYAL(Uniroyal Elec)</t>
  </si>
  <si>
    <t>Microchip Tech</t>
  </si>
  <si>
    <t>Texas Instruments</t>
  </si>
  <si>
    <t>Comment</t>
  </si>
  <si>
    <t>10uF</t>
  </si>
  <si>
    <t>100nF</t>
  </si>
  <si>
    <t>22uF</t>
  </si>
  <si>
    <t>2.2uH</t>
  </si>
  <si>
    <t>1M</t>
  </si>
  <si>
    <t>100R</t>
  </si>
  <si>
    <t>100K</t>
  </si>
  <si>
    <t>200R</t>
  </si>
  <si>
    <t>10K</t>
  </si>
  <si>
    <t>20.5k</t>
  </si>
  <si>
    <t>0R</t>
  </si>
  <si>
    <t>13.3k</t>
  </si>
  <si>
    <t>EVQ-PLHA15</t>
  </si>
  <si>
    <t>Quantity</t>
  </si>
  <si>
    <t>#Column Name Error:' Remarks</t>
  </si>
  <si>
    <t>Battery Holders, Clips, Contacts RoHS</t>
  </si>
  <si>
    <t>20.5kΩ ±1% 50mW 0201 Thick Film Resistor</t>
  </si>
  <si>
    <t>RTT012052FTH</t>
  </si>
  <si>
    <t>RALEC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</si>
</sst>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1"/>
  <sheetViews>
    <sheetView tabSelected="1" topLeftCell="D1" zoomScale="70" zoomScaleNormal="70" workbookViewId="0">
      <selection activeCell="H16" sqref="H16"/>
    </sheetView>
  </sheetViews>
  <sheetFormatPr defaultRowHeight="14.4" x14ac:dyDescent="0.3"/>
  <cols>
    <col min="2" max="2" width="3.109375" style="4" customWidth="1"/>
    <col min="3" max="3" width="18.6640625" style="4" bestFit="1" customWidth="1"/>
    <col min="4" max="4" width="36" bestFit="1" customWidth="1"/>
    <col min="5" max="5" width="30" customWidth="1"/>
    <col min="6" max="6" width="26.5546875" bestFit="1" customWidth="1"/>
    <col min="7" max="7" width="33.44140625" bestFit="1" customWidth="1"/>
    <col min="8" max="8" width="21.44140625" bestFit="1" customWidth="1"/>
    <col min="9" max="9" width="17.88671875" bestFit="1" customWidth="1"/>
    <col min="10" max="10" width="16.6640625" bestFit="1" customWidth="1"/>
    <col min="11" max="11" width="29.44140625" customWidth="1"/>
  </cols>
  <sheetData>
    <row r="1" spans="1:11" ht="15" thickBot="1" x14ac:dyDescent="0.35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" thickBot="1" x14ac:dyDescent="0.35">
      <c r="A2" s="1"/>
      <c r="B2" s="5" t="s">
        <v>0</v>
      </c>
      <c r="C2" s="5" t="s">
        <v>1</v>
      </c>
      <c r="D2" s="5" t="s">
        <v>6</v>
      </c>
      <c r="E2" s="6" t="s">
        <v>26</v>
      </c>
      <c r="F2" s="5" t="s">
        <v>43</v>
      </c>
      <c r="G2" s="6" t="s">
        <v>55</v>
      </c>
      <c r="H2" s="5" t="s">
        <v>72</v>
      </c>
      <c r="I2" s="6" t="s">
        <v>84</v>
      </c>
      <c r="J2" s="5" t="s">
        <v>98</v>
      </c>
      <c r="K2" s="5" t="s">
        <v>99</v>
      </c>
    </row>
    <row r="3" spans="1:11" ht="15" thickBot="1" x14ac:dyDescent="0.35">
      <c r="A3" s="1"/>
      <c r="B3" s="11">
        <f>ROW(B3) - ROW($B$2)</f>
        <v>1</v>
      </c>
      <c r="C3" s="12"/>
      <c r="D3" s="7" t="s">
        <v>7</v>
      </c>
      <c r="E3" s="8" t="s">
        <v>100</v>
      </c>
      <c r="F3" s="7" t="s">
        <v>44</v>
      </c>
      <c r="G3" s="8" t="s">
        <v>56</v>
      </c>
      <c r="H3" s="7" t="s">
        <v>73</v>
      </c>
      <c r="I3" s="8" t="s">
        <v>56</v>
      </c>
      <c r="J3" s="7">
        <v>1</v>
      </c>
      <c r="K3" s="7"/>
    </row>
    <row r="4" spans="1:11" ht="15" thickBot="1" x14ac:dyDescent="0.35">
      <c r="A4" s="1"/>
      <c r="B4" s="11">
        <f t="shared" ref="B4:B20" si="0">ROW(B4) - ROW($B$2)</f>
        <v>2</v>
      </c>
      <c r="C4" s="13" t="s">
        <v>2</v>
      </c>
      <c r="D4" s="9" t="s">
        <v>8</v>
      </c>
      <c r="E4" s="10" t="s">
        <v>27</v>
      </c>
      <c r="F4" s="9" t="s">
        <v>45</v>
      </c>
      <c r="G4" s="10" t="s">
        <v>57</v>
      </c>
      <c r="H4" s="9" t="s">
        <v>74</v>
      </c>
      <c r="I4" s="10" t="s">
        <v>85</v>
      </c>
      <c r="J4" s="9">
        <v>2</v>
      </c>
      <c r="K4" s="9"/>
    </row>
    <row r="5" spans="1:11" ht="15" thickBot="1" x14ac:dyDescent="0.35">
      <c r="A5" s="1"/>
      <c r="B5" s="11">
        <f>ROW(B5) - ROW($B$2)</f>
        <v>3</v>
      </c>
      <c r="C5" s="12"/>
      <c r="D5" s="7" t="s">
        <v>9</v>
      </c>
      <c r="E5" s="8" t="s">
        <v>28</v>
      </c>
      <c r="F5" s="7" t="s">
        <v>46</v>
      </c>
      <c r="G5" s="8" t="s">
        <v>58</v>
      </c>
      <c r="H5" s="7" t="s">
        <v>75</v>
      </c>
      <c r="I5" s="8" t="s">
        <v>86</v>
      </c>
      <c r="J5" s="7">
        <v>2</v>
      </c>
      <c r="K5" s="7"/>
    </row>
    <row r="6" spans="1:11" ht="15" thickBot="1" x14ac:dyDescent="0.35">
      <c r="A6" s="1"/>
      <c r="B6" s="11">
        <f t="shared" si="0"/>
        <v>4</v>
      </c>
      <c r="C6" s="13" t="s">
        <v>2</v>
      </c>
      <c r="D6" s="9" t="s">
        <v>10</v>
      </c>
      <c r="E6" s="10" t="s">
        <v>29</v>
      </c>
      <c r="F6" s="9" t="s">
        <v>45</v>
      </c>
      <c r="G6" s="10" t="s">
        <v>59</v>
      </c>
      <c r="H6" s="9" t="s">
        <v>76</v>
      </c>
      <c r="I6" s="10" t="s">
        <v>87</v>
      </c>
      <c r="J6" s="9">
        <v>1</v>
      </c>
      <c r="K6" s="9"/>
    </row>
    <row r="7" spans="1:11" ht="24.6" thickBot="1" x14ac:dyDescent="0.35">
      <c r="A7" s="1"/>
      <c r="B7" s="11">
        <f>ROW(B7) - ROW($B$2)</f>
        <v>5</v>
      </c>
      <c r="C7" s="12"/>
      <c r="D7" s="7" t="s">
        <v>11</v>
      </c>
      <c r="E7" s="8" t="s">
        <v>30</v>
      </c>
      <c r="F7" s="7" t="s">
        <v>47</v>
      </c>
      <c r="G7" s="8" t="s">
        <v>60</v>
      </c>
      <c r="H7" s="7" t="s">
        <v>77</v>
      </c>
      <c r="I7" s="8" t="s">
        <v>60</v>
      </c>
      <c r="J7" s="7">
        <v>1</v>
      </c>
      <c r="K7" s="7"/>
    </row>
    <row r="8" spans="1:11" ht="36.6" thickBot="1" x14ac:dyDescent="0.35">
      <c r="A8" s="1"/>
      <c r="B8" s="11">
        <f t="shared" si="0"/>
        <v>6</v>
      </c>
      <c r="C8" s="13"/>
      <c r="D8" s="9" t="s">
        <v>12</v>
      </c>
      <c r="E8" s="10" t="s">
        <v>31</v>
      </c>
      <c r="F8" s="9" t="s">
        <v>48</v>
      </c>
      <c r="G8" s="10" t="s">
        <v>48</v>
      </c>
      <c r="H8" s="9" t="s">
        <v>78</v>
      </c>
      <c r="I8" s="10" t="s">
        <v>48</v>
      </c>
      <c r="J8" s="9">
        <v>4</v>
      </c>
      <c r="K8" s="9"/>
    </row>
    <row r="9" spans="1:11" ht="15" thickBot="1" x14ac:dyDescent="0.35">
      <c r="A9" s="1"/>
      <c r="B9" s="11">
        <f>ROW(B9) - ROW($B$2)</f>
        <v>7</v>
      </c>
      <c r="C9" s="12" t="s">
        <v>3</v>
      </c>
      <c r="D9" s="7" t="s">
        <v>13</v>
      </c>
      <c r="E9" s="8" t="s">
        <v>32</v>
      </c>
      <c r="F9" s="7" t="s">
        <v>49</v>
      </c>
      <c r="G9" s="8" t="s">
        <v>61</v>
      </c>
      <c r="H9" s="7" t="s">
        <v>76</v>
      </c>
      <c r="I9" s="8" t="s">
        <v>88</v>
      </c>
      <c r="J9" s="7">
        <v>1</v>
      </c>
      <c r="K9" s="7"/>
    </row>
    <row r="10" spans="1:11" ht="24.6" thickBot="1" x14ac:dyDescent="0.35">
      <c r="A10" s="1"/>
      <c r="B10" s="11">
        <f t="shared" si="0"/>
        <v>8</v>
      </c>
      <c r="C10" s="13"/>
      <c r="D10" s="9" t="s">
        <v>14</v>
      </c>
      <c r="E10" s="10" t="s">
        <v>33</v>
      </c>
      <c r="F10" s="9" t="s">
        <v>50</v>
      </c>
      <c r="G10" s="10" t="s">
        <v>62</v>
      </c>
      <c r="H10" s="9" t="s">
        <v>79</v>
      </c>
      <c r="I10" s="10" t="s">
        <v>62</v>
      </c>
      <c r="J10" s="9">
        <v>2</v>
      </c>
      <c r="K10" s="9"/>
    </row>
    <row r="11" spans="1:11" ht="48.6" thickBot="1" x14ac:dyDescent="0.35">
      <c r="A11" s="1"/>
      <c r="B11" s="11">
        <f>ROW(B11) - ROW($B$2)</f>
        <v>9</v>
      </c>
      <c r="C11" s="12" t="s">
        <v>4</v>
      </c>
      <c r="D11" s="7" t="s">
        <v>15</v>
      </c>
      <c r="E11" s="8" t="s">
        <v>34</v>
      </c>
      <c r="F11" s="7" t="s">
        <v>51</v>
      </c>
      <c r="G11" s="8" t="s">
        <v>63</v>
      </c>
      <c r="H11" s="7" t="s">
        <v>75</v>
      </c>
      <c r="I11" s="8" t="s">
        <v>89</v>
      </c>
      <c r="J11" s="7">
        <v>3</v>
      </c>
      <c r="K11" s="7"/>
    </row>
    <row r="12" spans="1:11" ht="24.6" thickBot="1" x14ac:dyDescent="0.35">
      <c r="A12" s="1"/>
      <c r="B12" s="11">
        <f t="shared" si="0"/>
        <v>10</v>
      </c>
      <c r="C12" s="13" t="s">
        <v>4</v>
      </c>
      <c r="D12" s="9" t="s">
        <v>16</v>
      </c>
      <c r="E12" s="10" t="s">
        <v>35</v>
      </c>
      <c r="F12" s="9" t="s">
        <v>51</v>
      </c>
      <c r="G12" s="10" t="s">
        <v>64</v>
      </c>
      <c r="H12" s="9" t="s">
        <v>75</v>
      </c>
      <c r="I12" s="10" t="s">
        <v>90</v>
      </c>
      <c r="J12" s="9">
        <v>6</v>
      </c>
      <c r="K12" s="9"/>
    </row>
    <row r="13" spans="1:11" ht="15" thickBot="1" x14ac:dyDescent="0.35">
      <c r="A13" s="1"/>
      <c r="B13" s="11">
        <f>ROW(B13) - ROW($B$2)</f>
        <v>11</v>
      </c>
      <c r="C13" s="12" t="s">
        <v>4</v>
      </c>
      <c r="D13" s="7" t="s">
        <v>17</v>
      </c>
      <c r="E13" s="8" t="s">
        <v>36</v>
      </c>
      <c r="F13" s="7" t="s">
        <v>51</v>
      </c>
      <c r="G13" s="8" t="s">
        <v>65</v>
      </c>
      <c r="H13" s="7" t="s">
        <v>75</v>
      </c>
      <c r="I13" s="8" t="s">
        <v>91</v>
      </c>
      <c r="J13" s="7">
        <v>2</v>
      </c>
      <c r="K13" s="7"/>
    </row>
    <row r="14" spans="1:11" ht="15" thickBot="1" x14ac:dyDescent="0.35">
      <c r="A14" s="1"/>
      <c r="B14" s="11">
        <f t="shared" si="0"/>
        <v>12</v>
      </c>
      <c r="C14" s="13" t="s">
        <v>4</v>
      </c>
      <c r="D14" s="9" t="s">
        <v>18</v>
      </c>
      <c r="E14" s="10" t="s">
        <v>37</v>
      </c>
      <c r="F14" s="9" t="s">
        <v>51</v>
      </c>
      <c r="G14" s="10" t="s">
        <v>66</v>
      </c>
      <c r="H14" s="9" t="s">
        <v>75</v>
      </c>
      <c r="I14" s="10" t="s">
        <v>92</v>
      </c>
      <c r="J14" s="9">
        <v>4</v>
      </c>
      <c r="K14" s="9"/>
    </row>
    <row r="15" spans="1:11" ht="15" thickBot="1" x14ac:dyDescent="0.35">
      <c r="A15" s="1"/>
      <c r="B15" s="11">
        <f>ROW(B15) - ROW($B$2)</f>
        <v>13</v>
      </c>
      <c r="C15" s="12" t="s">
        <v>4</v>
      </c>
      <c r="D15" s="7" t="s">
        <v>19</v>
      </c>
      <c r="E15" s="8" t="s">
        <v>38</v>
      </c>
      <c r="F15" s="7" t="s">
        <v>51</v>
      </c>
      <c r="G15" s="8" t="s">
        <v>67</v>
      </c>
      <c r="H15" s="7" t="s">
        <v>75</v>
      </c>
      <c r="I15" s="8" t="s">
        <v>93</v>
      </c>
      <c r="J15" s="7">
        <v>1</v>
      </c>
      <c r="K15" s="7"/>
    </row>
    <row r="16" spans="1:11" ht="15" customHeight="1" thickBot="1" x14ac:dyDescent="0.35">
      <c r="A16" s="1"/>
      <c r="B16" s="11">
        <f t="shared" si="0"/>
        <v>14</v>
      </c>
      <c r="C16" s="13" t="s">
        <v>4</v>
      </c>
      <c r="D16" s="9" t="s">
        <v>20</v>
      </c>
      <c r="E16" s="10" t="s">
        <v>101</v>
      </c>
      <c r="F16" s="9" t="s">
        <v>51</v>
      </c>
      <c r="G16" s="10" t="s">
        <v>102</v>
      </c>
      <c r="H16" s="9" t="s">
        <v>103</v>
      </c>
      <c r="I16" s="10" t="s">
        <v>94</v>
      </c>
      <c r="J16" s="9">
        <v>1</v>
      </c>
      <c r="K16" s="9"/>
    </row>
    <row r="17" spans="1:11" ht="36.6" thickBot="1" x14ac:dyDescent="0.35">
      <c r="A17" s="1"/>
      <c r="B17" s="11">
        <f>ROW(B17) - ROW($B$2)</f>
        <v>15</v>
      </c>
      <c r="C17" s="12" t="s">
        <v>4</v>
      </c>
      <c r="D17" s="7" t="s">
        <v>21</v>
      </c>
      <c r="E17" s="8" t="s">
        <v>39</v>
      </c>
      <c r="F17" s="7" t="s">
        <v>51</v>
      </c>
      <c r="G17" s="8" t="s">
        <v>68</v>
      </c>
      <c r="H17" s="7" t="s">
        <v>80</v>
      </c>
      <c r="I17" s="8" t="s">
        <v>95</v>
      </c>
      <c r="J17" s="7">
        <v>1</v>
      </c>
      <c r="K17" s="7"/>
    </row>
    <row r="18" spans="1:11" ht="36.6" thickBot="1" x14ac:dyDescent="0.35">
      <c r="A18" s="1"/>
      <c r="B18" s="11">
        <f t="shared" si="0"/>
        <v>16</v>
      </c>
      <c r="C18" s="13" t="s">
        <v>4</v>
      </c>
      <c r="D18" s="9" t="s">
        <v>22</v>
      </c>
      <c r="E18" s="10" t="s">
        <v>40</v>
      </c>
      <c r="F18" s="9" t="s">
        <v>51</v>
      </c>
      <c r="G18" s="10" t="s">
        <v>69</v>
      </c>
      <c r="H18" s="9" t="s">
        <v>81</v>
      </c>
      <c r="I18" s="10" t="s">
        <v>96</v>
      </c>
      <c r="J18" s="9">
        <v>1</v>
      </c>
      <c r="K18" s="9"/>
    </row>
    <row r="19" spans="1:11" ht="15" thickBot="1" x14ac:dyDescent="0.35">
      <c r="A19" s="1"/>
      <c r="B19" s="11">
        <f>ROW(B19) - ROW($B$2)</f>
        <v>17</v>
      </c>
      <c r="C19" s="12"/>
      <c r="D19" s="7" t="s">
        <v>23</v>
      </c>
      <c r="E19" s="8" t="s">
        <v>26</v>
      </c>
      <c r="F19" s="7" t="s">
        <v>52</v>
      </c>
      <c r="G19" s="8"/>
      <c r="H19" s="7"/>
      <c r="I19" s="8" t="s">
        <v>97</v>
      </c>
      <c r="J19" s="7">
        <v>1</v>
      </c>
      <c r="K19" s="7"/>
    </row>
    <row r="20" spans="1:11" ht="15" thickBot="1" x14ac:dyDescent="0.35">
      <c r="A20" s="1"/>
      <c r="B20" s="11">
        <f t="shared" si="0"/>
        <v>18</v>
      </c>
      <c r="C20" s="13" t="s">
        <v>5</v>
      </c>
      <c r="D20" s="9" t="s">
        <v>24</v>
      </c>
      <c r="E20" s="10" t="s">
        <v>41</v>
      </c>
      <c r="F20" s="9" t="s">
        <v>53</v>
      </c>
      <c r="G20" s="10" t="s">
        <v>70</v>
      </c>
      <c r="H20" s="9" t="s">
        <v>82</v>
      </c>
      <c r="I20" s="10" t="s">
        <v>70</v>
      </c>
      <c r="J20" s="9">
        <v>1</v>
      </c>
      <c r="K20" s="9"/>
    </row>
    <row r="21" spans="1:11" ht="36.6" thickBot="1" x14ac:dyDescent="0.35">
      <c r="A21" s="1"/>
      <c r="B21" s="11">
        <f>ROW(B21) - ROW($B$2)</f>
        <v>19</v>
      </c>
      <c r="C21" s="12"/>
      <c r="D21" s="7" t="s">
        <v>25</v>
      </c>
      <c r="E21" s="8" t="s">
        <v>42</v>
      </c>
      <c r="F21" s="7" t="s">
        <v>54</v>
      </c>
      <c r="G21" s="8" t="s">
        <v>71</v>
      </c>
      <c r="H21" s="7" t="s">
        <v>83</v>
      </c>
      <c r="I21" s="8" t="s">
        <v>71</v>
      </c>
      <c r="J21" s="7">
        <v>1</v>
      </c>
      <c r="K21" s="7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Aift Khan</cp:lastModifiedBy>
  <dcterms:created xsi:type="dcterms:W3CDTF">2019-12-12T10:34:26Z</dcterms:created>
  <dcterms:modified xsi:type="dcterms:W3CDTF">2026-03-18T16:06:25Z</dcterms:modified>
</cp:coreProperties>
</file>